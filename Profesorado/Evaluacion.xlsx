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CQuiroz\Master2025\SegundoCuatri\Didactica2\ProyectoFinal\"/>
    </mc:Choice>
  </mc:AlternateContent>
  <xr:revisionPtr revIDLastSave="0" documentId="13_ncr:1_{E92C7684-44FA-4B9E-A3EE-5203908E74D6}" xr6:coauthVersionLast="47" xr6:coauthVersionMax="47" xr10:uidLastSave="{00000000-0000-0000-0000-000000000000}"/>
  <bookViews>
    <workbookView xWindow="28680" yWindow="-120" windowWidth="29040" windowHeight="15720" activeTab="1" xr2:uid="{AD311F65-D746-492B-BD8A-DC2E48069E08}"/>
  </bookViews>
  <sheets>
    <sheet name="Eval" sheetId="1" r:id="rId1"/>
    <sheet name="CrE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6" i="1" l="1"/>
  <c r="H36" i="1" s="1"/>
  <c r="G39" i="1"/>
  <c r="H29" i="1"/>
  <c r="H30" i="1"/>
  <c r="H28" i="1"/>
  <c r="H31" i="1" s="1"/>
  <c r="F37" i="1" s="1"/>
  <c r="H37" i="1" s="1"/>
  <c r="H26" i="1"/>
  <c r="H22" i="1"/>
  <c r="H18" i="1"/>
  <c r="H20" i="1" s="1"/>
  <c r="F35" i="1" s="1"/>
  <c r="H35" i="1" s="1"/>
  <c r="H19" i="1"/>
  <c r="H17" i="1"/>
  <c r="H13" i="1"/>
  <c r="H12" i="1"/>
  <c r="H14" i="1" s="1"/>
  <c r="F34" i="1" s="1"/>
  <c r="H34" i="1" s="1"/>
  <c r="H6" i="1"/>
  <c r="H7" i="1"/>
  <c r="H8" i="1"/>
  <c r="H9" i="1"/>
  <c r="H5" i="1"/>
  <c r="H10" i="1" l="1"/>
  <c r="F33" i="1" s="1"/>
  <c r="H33" i="1" s="1"/>
  <c r="H39" i="1" s="1"/>
</calcChain>
</file>

<file path=xl/sharedStrings.xml><?xml version="1.0" encoding="utf-8"?>
<sst xmlns="http://schemas.openxmlformats.org/spreadsheetml/2006/main" count="52" uniqueCount="48">
  <si>
    <t>TECNOLOGÍA E INGENIERÍA PRIMER CURSO BACHILLERATO</t>
  </si>
  <si>
    <t>Criterio de Evaluación (CrE)</t>
  </si>
  <si>
    <t>Trabajada durante Sesión</t>
  </si>
  <si>
    <t>Calificación obtenida /10</t>
  </si>
  <si>
    <t>%</t>
  </si>
  <si>
    <t>Pond.</t>
  </si>
  <si>
    <t>CE1. Diseñar, crear y mejorar productos y sistemas tecnológicos gestionando proyectos de investigación con técnicas eficientes y actitud emprendedora.</t>
  </si>
  <si>
    <t>CrE.5.1.1</t>
  </si>
  <si>
    <t>CrE.5.1.2</t>
  </si>
  <si>
    <t>CrE.5.1.4</t>
  </si>
  <si>
    <t>CrE.5.1.5</t>
  </si>
  <si>
    <t>CrE.5.1.6</t>
  </si>
  <si>
    <t>Nota Parcial</t>
  </si>
  <si>
    <t>CE2. Seleccionar materiales aplicando criterios técnicos, considerando estudios de impacto ecosocial y valorando criterios de sostenibilidad, para fabricar productos eficientes que den respuesta a problemas planteados con un enfoque ético y responsable.</t>
  </si>
  <si>
    <t>CrE.5.2.1</t>
  </si>
  <si>
    <t>CrE.5.2.3</t>
  </si>
  <si>
    <t>CE3.Aprovechar y configurar las herramientas digitales adecuadas para resolver de forma eficiente tareas y presentar resultados, aplicando conocimientos interdisciplinares.</t>
  </si>
  <si>
    <t>CrE.5.3.1</t>
  </si>
  <si>
    <t>CrE.5.3.2</t>
  </si>
  <si>
    <t>CrE.5.3.3</t>
  </si>
  <si>
    <t>CE4. Resolver problemas del ámbito de la ingeniería transfiriendo y aplicando saberes interdisciplinares.</t>
  </si>
  <si>
    <t>CE5.Diseñar y crear soluciones tecnológicas automatizadas o robóticas mediante control programado y regulación automática.</t>
  </si>
  <si>
    <t>CrE.5.5.1</t>
  </si>
  <si>
    <t>CrE.5.5.2</t>
  </si>
  <si>
    <t>CrE.5.5.3</t>
  </si>
  <si>
    <t>Totales</t>
  </si>
  <si>
    <t>CE1</t>
  </si>
  <si>
    <t>CE2</t>
  </si>
  <si>
    <t>CE3</t>
  </si>
  <si>
    <t>CE4</t>
  </si>
  <si>
    <t>CE5</t>
  </si>
  <si>
    <t>Nota Final</t>
  </si>
  <si>
    <t>5.1.1. Investigar y diseñar proyectos que muestren de forma gráfica la creación y mejora de un producto viable y socialmente responsable, seleccionando, referenciando e interpretando información relacionada.</t>
  </si>
  <si>
    <t>5.1.2. Participar en el desarrollo y coordinación de proyectos de creación y mejora continua de productos viables y socialmente responsables, identificando mejoras y creando prototipos mediante un proceso iterativo, con actitud emprendedora.</t>
  </si>
  <si>
    <t>5.1.4. Utilizar eficaz y adecuadamente la representación gráfica para describir productos y sistemas tecnológicos de los ámbitos de la ingeniería, aplicando correctamente la normalización y la simbología y haciendo uso de aplicaciones informáticas.</t>
  </si>
  <si>
    <t>5.1.5. Determinar el ciclo de vida de un producto viable y socialmente responsable, planificando y aplicando medidas de control de calidad en sus distintas etapas, desde el diseño a la comercialización, teniendo en consideración estrategias de mejora continua.</t>
  </si>
  <si>
    <t>5.1.6. Colaborar en tareas tecnológicas, escuchando el razonamiento de los demás, aportando al equipo a través del rol asignado y fomentando el bienestar grupal y las relaciones saludables e inclusivas.</t>
  </si>
  <si>
    <t xml:space="preserve">5.2.1. Seleccionar, los materiales, tradicionales o de nueva generación, adecuados para la fabricación de productos viables y de calidad basándose en sus características técnicas y atendiendo a criterios de sostenibilidad de manera ética y responsable. </t>
  </si>
  <si>
    <t>5.2.3. Investigar nuevos materiales, sus aplicaciones y el impacto transformador de su uso en la sociedad, evaluando su sostenibilidad.</t>
  </si>
  <si>
    <t>CrE.5.4.3</t>
  </si>
  <si>
    <t>5.3.1. Resolver tareas propuestas y funciones asignadas de manera óptima, mediante el uso y configuración de diferentes herramientas digitales y aplicando conocimientos interdisciplinares con autonomía.</t>
  </si>
  <si>
    <t>5.3.2. Realizar la presentación de proyectos empleando herramientas digitales adecuadas.</t>
  </si>
  <si>
    <t>5.3.3 Emplear ética y responsablemente las herramientas digitales</t>
  </si>
  <si>
    <t>5.4.3. Resolver problemas asociados a sistemas energéticos, eficiencia y ahorro energético.</t>
  </si>
  <si>
    <t>5.5.1. Diseñar sistemas tecnológicos y robóticos automatizados, utilizando operadores tecnológicos y lenguajes de programación informática, y aplicando las posibilidades que ofrecen las tecnologías emergentes.</t>
  </si>
  <si>
    <t>5.5.2. Construir sistemas tecnológicos y robóticos automatizados empleando materiales, operadores y técnicas eficazmente.</t>
  </si>
  <si>
    <t>5.5.3. Controlar el funcionamiento de sistemas tecnológicos y robóticos, utilizando lenguajes de programación y aplicando las posibilidades que ofrecen las tecnologías emergentes, tales como Inteligencia Artificial, Telemetría, Internet de las cosas, Big Data...</t>
  </si>
  <si>
    <t>Criterios de Evaluación CrE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</si>
</sst>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rgb="FF000000"/>
      </patternFill>
    </fill>
    <fill>
      <patternFill patternType="solid">
        <fgColor theme="7" tint="-0.249977111117893"/>
        <bgColor rgb="FF000000"/>
      </patternFill>
    </fill>
    <fill>
      <patternFill patternType="solid">
        <fgColor theme="6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1" fillId="2" borderId="8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/>
    </xf>
    <xf numFmtId="0" fontId="4" fillId="0" borderId="10" xfId="0" applyFont="1" applyBorder="1"/>
    <xf numFmtId="0" fontId="1" fillId="2" borderId="5" xfId="0" applyFont="1" applyFill="1" applyBorder="1" applyAlignment="1">
      <alignment horizontal="center" vertical="center" textRotation="90" wrapText="1"/>
    </xf>
    <xf numFmtId="0" fontId="1" fillId="2" borderId="6" xfId="0" applyFont="1" applyFill="1" applyBorder="1" applyAlignment="1">
      <alignment horizontal="center" vertical="center" textRotation="90" wrapText="1"/>
    </xf>
    <xf numFmtId="0" fontId="1" fillId="2" borderId="7" xfId="0" applyFont="1" applyFill="1" applyBorder="1" applyAlignment="1">
      <alignment horizontal="center" vertical="center" textRotation="90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/>
    <xf numFmtId="0" fontId="1" fillId="3" borderId="4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8A02F-AC42-44FA-AEAC-12DB0B80E32C}">
  <dimension ref="A1:I39"/>
  <sheetViews>
    <sheetView topLeftCell="A12" workbookViewId="0">
      <selection activeCell="E22" sqref="E22:E25"/>
    </sheetView>
  </sheetViews>
  <sheetFormatPr baseColWidth="10" defaultColWidth="11.453125" defaultRowHeight="14.5" x14ac:dyDescent="0.35"/>
  <cols>
    <col min="4" max="4" width="12.81640625" customWidth="1"/>
    <col min="5" max="5" width="11.1796875" customWidth="1"/>
    <col min="6" max="6" width="11.1796875" bestFit="1" customWidth="1"/>
    <col min="7" max="7" width="7.1796875" customWidth="1"/>
    <col min="9" max="9" width="13.7265625" bestFit="1" customWidth="1"/>
  </cols>
  <sheetData>
    <row r="1" spans="1:9" x14ac:dyDescent="0.35">
      <c r="A1" s="11" t="s">
        <v>0</v>
      </c>
      <c r="B1" s="12"/>
      <c r="C1" s="12"/>
      <c r="D1" s="14" t="s">
        <v>1</v>
      </c>
      <c r="E1" s="14" t="s">
        <v>2</v>
      </c>
      <c r="F1" s="14" t="s">
        <v>3</v>
      </c>
      <c r="G1" s="14" t="s">
        <v>4</v>
      </c>
      <c r="H1" s="14" t="s">
        <v>5</v>
      </c>
    </row>
    <row r="2" spans="1:9" x14ac:dyDescent="0.35">
      <c r="A2" s="11"/>
      <c r="B2" s="12"/>
      <c r="C2" s="12"/>
      <c r="D2" s="15"/>
      <c r="E2" s="15"/>
      <c r="F2" s="15"/>
      <c r="G2" s="15"/>
      <c r="H2" s="15"/>
    </row>
    <row r="3" spans="1:9" x14ac:dyDescent="0.35">
      <c r="A3" s="11"/>
      <c r="B3" s="12"/>
      <c r="C3" s="12"/>
      <c r="D3" s="15"/>
      <c r="E3" s="15"/>
      <c r="F3" s="15"/>
      <c r="G3" s="15"/>
      <c r="H3" s="15"/>
    </row>
    <row r="4" spans="1:9" x14ac:dyDescent="0.35">
      <c r="A4" s="11"/>
      <c r="B4" s="12"/>
      <c r="C4" s="12"/>
      <c r="D4" s="16"/>
      <c r="E4" s="16"/>
      <c r="F4" s="16"/>
      <c r="G4" s="16"/>
      <c r="H4" s="16"/>
    </row>
    <row r="5" spans="1:9" ht="14.5" customHeight="1" x14ac:dyDescent="0.35">
      <c r="A5" s="8" t="s">
        <v>6</v>
      </c>
      <c r="B5" s="9"/>
      <c r="C5" s="9"/>
      <c r="D5" s="1" t="s">
        <v>7</v>
      </c>
      <c r="E5" s="1">
        <v>4</v>
      </c>
      <c r="F5" s="1">
        <v>5</v>
      </c>
      <c r="G5" s="1">
        <v>20</v>
      </c>
      <c r="H5" s="1">
        <f>F5*0.2</f>
        <v>1</v>
      </c>
    </row>
    <row r="6" spans="1:9" x14ac:dyDescent="0.35">
      <c r="A6" s="8"/>
      <c r="B6" s="9"/>
      <c r="C6" s="9"/>
      <c r="D6" s="1" t="s">
        <v>8</v>
      </c>
      <c r="E6" s="1">
        <v>9</v>
      </c>
      <c r="F6" s="1">
        <v>7</v>
      </c>
      <c r="G6" s="1">
        <v>20</v>
      </c>
      <c r="H6" s="1">
        <f>F6*0.2</f>
        <v>1.4000000000000001</v>
      </c>
    </row>
    <row r="7" spans="1:9" x14ac:dyDescent="0.35">
      <c r="A7" s="8"/>
      <c r="B7" s="9"/>
      <c r="C7" s="9"/>
      <c r="D7" s="1" t="s">
        <v>9</v>
      </c>
      <c r="E7" s="1">
        <v>9</v>
      </c>
      <c r="F7" s="1">
        <v>4</v>
      </c>
      <c r="G7" s="1">
        <v>20</v>
      </c>
      <c r="H7" s="1">
        <f t="shared" ref="H7:H9" si="0">F7*0.2</f>
        <v>0.8</v>
      </c>
    </row>
    <row r="8" spans="1:9" x14ac:dyDescent="0.35">
      <c r="A8" s="8"/>
      <c r="B8" s="9"/>
      <c r="C8" s="9"/>
      <c r="D8" s="1" t="s">
        <v>10</v>
      </c>
      <c r="E8" s="1">
        <v>9</v>
      </c>
      <c r="F8" s="1">
        <v>10</v>
      </c>
      <c r="G8" s="1">
        <v>20</v>
      </c>
      <c r="H8" s="1">
        <f t="shared" si="0"/>
        <v>2</v>
      </c>
    </row>
    <row r="9" spans="1:9" ht="22.5" customHeight="1" x14ac:dyDescent="0.35">
      <c r="A9" s="10"/>
      <c r="B9" s="10"/>
      <c r="C9" s="10"/>
      <c r="D9" s="1" t="s">
        <v>11</v>
      </c>
      <c r="E9" s="1">
        <v>7</v>
      </c>
      <c r="F9" s="1">
        <v>8</v>
      </c>
      <c r="G9" s="1">
        <v>20</v>
      </c>
      <c r="H9" s="1">
        <f t="shared" si="0"/>
        <v>1.6</v>
      </c>
    </row>
    <row r="10" spans="1:9" x14ac:dyDescent="0.35">
      <c r="G10" s="1"/>
      <c r="H10" s="1">
        <f>SUM(H5:H9)</f>
        <v>6.8000000000000007</v>
      </c>
      <c r="I10" t="s">
        <v>12</v>
      </c>
    </row>
    <row r="12" spans="1:9" ht="14.5" customHeight="1" x14ac:dyDescent="0.35">
      <c r="A12" s="8" t="s">
        <v>13</v>
      </c>
      <c r="B12" s="9"/>
      <c r="C12" s="9"/>
      <c r="D12" s="1" t="s">
        <v>14</v>
      </c>
      <c r="E12" s="1">
        <v>4</v>
      </c>
      <c r="F12" s="1">
        <v>8</v>
      </c>
      <c r="G12" s="1">
        <v>50</v>
      </c>
      <c r="H12" s="1">
        <f>F12*(G12/100)</f>
        <v>4</v>
      </c>
    </row>
    <row r="13" spans="1:9" ht="14.5" customHeight="1" x14ac:dyDescent="0.35">
      <c r="A13" s="8"/>
      <c r="B13" s="9"/>
      <c r="C13" s="9"/>
      <c r="D13" s="1" t="s">
        <v>15</v>
      </c>
      <c r="E13" s="1">
        <v>4</v>
      </c>
      <c r="F13" s="1">
        <v>8</v>
      </c>
      <c r="G13" s="1">
        <v>50</v>
      </c>
      <c r="H13" s="1">
        <f>F13*(G13/100)</f>
        <v>4</v>
      </c>
    </row>
    <row r="14" spans="1:9" ht="14.5" customHeight="1" x14ac:dyDescent="0.35">
      <c r="A14" s="8"/>
      <c r="B14" s="9"/>
      <c r="C14" s="9"/>
      <c r="E14" s="1"/>
      <c r="F14" s="1"/>
      <c r="G14" s="1"/>
      <c r="H14" s="1">
        <f>SUM(H12:H13)</f>
        <v>8</v>
      </c>
      <c r="I14" t="s">
        <v>12</v>
      </c>
    </row>
    <row r="15" spans="1:9" ht="94.5" customHeight="1" x14ac:dyDescent="0.35">
      <c r="A15" s="8"/>
      <c r="B15" s="9"/>
      <c r="C15" s="9"/>
      <c r="E15" s="1"/>
      <c r="F15" s="1"/>
      <c r="G15" s="1"/>
      <c r="H15" s="1"/>
    </row>
    <row r="16" spans="1:9" x14ac:dyDescent="0.35">
      <c r="E16" s="1"/>
      <c r="F16" s="1"/>
      <c r="G16" s="1"/>
      <c r="H16" s="1"/>
    </row>
    <row r="17" spans="1:9" ht="14.5" customHeight="1" x14ac:dyDescent="0.35">
      <c r="A17" s="8" t="s">
        <v>16</v>
      </c>
      <c r="B17" s="9"/>
      <c r="C17" s="9"/>
      <c r="D17" s="1" t="s">
        <v>17</v>
      </c>
      <c r="E17" s="1">
        <v>12</v>
      </c>
      <c r="F17" s="1">
        <v>5</v>
      </c>
      <c r="G17" s="1">
        <v>33</v>
      </c>
      <c r="H17" s="1">
        <f>F17*(G17/100)</f>
        <v>1.6500000000000001</v>
      </c>
    </row>
    <row r="18" spans="1:9" ht="14.5" customHeight="1" x14ac:dyDescent="0.35">
      <c r="A18" s="8"/>
      <c r="B18" s="9"/>
      <c r="C18" s="9"/>
      <c r="D18" s="1" t="s">
        <v>18</v>
      </c>
      <c r="E18" s="1">
        <v>19</v>
      </c>
      <c r="F18" s="1">
        <v>5</v>
      </c>
      <c r="G18" s="1">
        <v>33</v>
      </c>
      <c r="H18" s="1">
        <f t="shared" ref="H18:H19" si="1">F18*(G18/100)</f>
        <v>1.6500000000000001</v>
      </c>
    </row>
    <row r="19" spans="1:9" ht="14.5" customHeight="1" x14ac:dyDescent="0.35">
      <c r="A19" s="8"/>
      <c r="B19" s="9"/>
      <c r="C19" s="9"/>
      <c r="D19" s="1" t="s">
        <v>19</v>
      </c>
      <c r="E19" s="1">
        <v>14</v>
      </c>
      <c r="F19" s="1">
        <v>5</v>
      </c>
      <c r="G19" s="1">
        <v>34</v>
      </c>
      <c r="H19" s="1">
        <f t="shared" si="1"/>
        <v>1.7000000000000002</v>
      </c>
    </row>
    <row r="20" spans="1:9" ht="48" customHeight="1" x14ac:dyDescent="0.35">
      <c r="A20" s="8"/>
      <c r="B20" s="9"/>
      <c r="C20" s="9"/>
      <c r="H20" s="1">
        <f>SUM(H17:H19)</f>
        <v>5</v>
      </c>
      <c r="I20" t="s">
        <v>12</v>
      </c>
    </row>
    <row r="22" spans="1:9" ht="14.5" customHeight="1" x14ac:dyDescent="0.35">
      <c r="A22" s="8" t="s">
        <v>20</v>
      </c>
      <c r="B22" s="9"/>
      <c r="C22" s="9"/>
      <c r="D22" s="13" t="s">
        <v>39</v>
      </c>
      <c r="E22" s="13">
        <v>14</v>
      </c>
      <c r="F22" s="13">
        <v>8</v>
      </c>
      <c r="G22" s="13">
        <v>100</v>
      </c>
      <c r="H22" s="13">
        <f>F22*(G22/100)</f>
        <v>8</v>
      </c>
    </row>
    <row r="23" spans="1:9" ht="14.5" customHeight="1" x14ac:dyDescent="0.35">
      <c r="A23" s="8"/>
      <c r="B23" s="9"/>
      <c r="C23" s="9"/>
      <c r="D23" s="13"/>
      <c r="E23" s="13"/>
      <c r="F23" s="13"/>
      <c r="G23" s="13"/>
      <c r="H23" s="13"/>
    </row>
    <row r="24" spans="1:9" ht="14.5" customHeight="1" x14ac:dyDescent="0.35">
      <c r="A24" s="8"/>
      <c r="B24" s="9"/>
      <c r="C24" s="9"/>
      <c r="D24" s="13"/>
      <c r="E24" s="13"/>
      <c r="F24" s="13"/>
      <c r="G24" s="13"/>
      <c r="H24" s="13"/>
    </row>
    <row r="25" spans="1:9" ht="14.5" customHeight="1" x14ac:dyDescent="0.35">
      <c r="A25" s="8"/>
      <c r="B25" s="9"/>
      <c r="C25" s="9"/>
      <c r="D25" s="13"/>
      <c r="E25" s="13"/>
      <c r="F25" s="13"/>
      <c r="G25" s="13"/>
      <c r="H25" s="13"/>
    </row>
    <row r="26" spans="1:9" x14ac:dyDescent="0.35">
      <c r="H26" s="1">
        <f>SUM(H22)</f>
        <v>8</v>
      </c>
      <c r="I26" t="s">
        <v>12</v>
      </c>
    </row>
    <row r="28" spans="1:9" ht="14.5" customHeight="1" x14ac:dyDescent="0.35">
      <c r="A28" s="8" t="s">
        <v>21</v>
      </c>
      <c r="B28" s="9"/>
      <c r="C28" s="9"/>
      <c r="D28" s="1" t="s">
        <v>22</v>
      </c>
      <c r="E28" s="1">
        <v>16</v>
      </c>
      <c r="F28" s="1">
        <v>8</v>
      </c>
      <c r="G28" s="1">
        <v>33</v>
      </c>
      <c r="H28" s="1">
        <f>F28*(G28/100)</f>
        <v>2.64</v>
      </c>
    </row>
    <row r="29" spans="1:9" ht="14.5" customHeight="1" x14ac:dyDescent="0.35">
      <c r="A29" s="8"/>
      <c r="B29" s="9"/>
      <c r="C29" s="9"/>
      <c r="D29" s="1" t="s">
        <v>23</v>
      </c>
      <c r="E29" s="1">
        <v>16</v>
      </c>
      <c r="F29" s="1">
        <v>7</v>
      </c>
      <c r="G29" s="1">
        <v>33</v>
      </c>
      <c r="H29" s="1">
        <f t="shared" ref="H29:H30" si="2">F29*(G29/100)</f>
        <v>2.31</v>
      </c>
    </row>
    <row r="30" spans="1:9" ht="14.5" customHeight="1" x14ac:dyDescent="0.35">
      <c r="A30" s="8"/>
      <c r="B30" s="9"/>
      <c r="C30" s="9"/>
      <c r="D30" s="1" t="s">
        <v>24</v>
      </c>
      <c r="E30" s="1">
        <v>16</v>
      </c>
      <c r="F30" s="1">
        <v>6</v>
      </c>
      <c r="G30" s="1">
        <v>34</v>
      </c>
      <c r="H30" s="1">
        <f t="shared" si="2"/>
        <v>2.04</v>
      </c>
    </row>
    <row r="31" spans="1:9" ht="48" customHeight="1" x14ac:dyDescent="0.35">
      <c r="A31" s="8"/>
      <c r="B31" s="9"/>
      <c r="C31" s="9"/>
      <c r="F31" s="1"/>
      <c r="G31" s="1"/>
      <c r="H31" s="1">
        <f>SUM(H28:H30)</f>
        <v>6.99</v>
      </c>
      <c r="I31" t="s">
        <v>12</v>
      </c>
    </row>
    <row r="32" spans="1:9" x14ac:dyDescent="0.35">
      <c r="G32" s="1"/>
    </row>
    <row r="33" spans="1:9" ht="14.5" customHeight="1" x14ac:dyDescent="0.35">
      <c r="A33" s="5" t="s">
        <v>25</v>
      </c>
      <c r="B33" s="2" t="s">
        <v>26</v>
      </c>
      <c r="F33" s="1">
        <f>H10</f>
        <v>6.8000000000000007</v>
      </c>
      <c r="G33" s="1">
        <v>30</v>
      </c>
      <c r="H33" s="1">
        <f>F33*G33/100</f>
        <v>2.0400000000000005</v>
      </c>
    </row>
    <row r="34" spans="1:9" ht="14.5" customHeight="1" x14ac:dyDescent="0.35">
      <c r="A34" s="6"/>
      <c r="B34" s="2" t="s">
        <v>27</v>
      </c>
      <c r="F34" s="1">
        <f>H14</f>
        <v>8</v>
      </c>
      <c r="G34" s="1">
        <v>10</v>
      </c>
      <c r="H34" s="1">
        <f t="shared" ref="H34:H37" si="3">F34*G34/100</f>
        <v>0.8</v>
      </c>
    </row>
    <row r="35" spans="1:9" ht="14.5" customHeight="1" x14ac:dyDescent="0.35">
      <c r="A35" s="6"/>
      <c r="B35" s="2" t="s">
        <v>28</v>
      </c>
      <c r="F35" s="1">
        <f>H20</f>
        <v>5</v>
      </c>
      <c r="G35" s="1">
        <v>20</v>
      </c>
      <c r="H35" s="1">
        <f t="shared" si="3"/>
        <v>1</v>
      </c>
    </row>
    <row r="36" spans="1:9" ht="14.5" customHeight="1" x14ac:dyDescent="0.35">
      <c r="A36" s="6"/>
      <c r="B36" s="2" t="s">
        <v>29</v>
      </c>
      <c r="F36" s="1">
        <f>H26</f>
        <v>8</v>
      </c>
      <c r="G36" s="1">
        <v>20</v>
      </c>
      <c r="H36" s="1">
        <f t="shared" si="3"/>
        <v>1.6</v>
      </c>
    </row>
    <row r="37" spans="1:9" ht="14.5" customHeight="1" x14ac:dyDescent="0.35">
      <c r="A37" s="6"/>
      <c r="B37" s="2" t="s">
        <v>30</v>
      </c>
      <c r="F37" s="1">
        <f>H31</f>
        <v>6.99</v>
      </c>
      <c r="G37" s="1">
        <v>20</v>
      </c>
      <c r="H37" s="1">
        <f t="shared" si="3"/>
        <v>1.3980000000000001</v>
      </c>
    </row>
    <row r="38" spans="1:9" ht="14.5" customHeight="1" x14ac:dyDescent="0.35">
      <c r="A38" s="7"/>
      <c r="B38" s="2"/>
      <c r="F38" s="1"/>
      <c r="G38" s="1"/>
      <c r="H38" s="1"/>
    </row>
    <row r="39" spans="1:9" ht="21" x14ac:dyDescent="0.5">
      <c r="F39" s="1"/>
      <c r="G39" s="1">
        <f>SUM(G32:G38)</f>
        <v>100</v>
      </c>
      <c r="H39" s="3">
        <f>SUM(H33:H38)</f>
        <v>6.838000000000001</v>
      </c>
      <c r="I39" s="4" t="s">
        <v>31</v>
      </c>
    </row>
  </sheetData>
  <mergeCells count="17">
    <mergeCell ref="G22:G25"/>
    <mergeCell ref="H22:H25"/>
    <mergeCell ref="D1:D4"/>
    <mergeCell ref="E1:E4"/>
    <mergeCell ref="F1:F4"/>
    <mergeCell ref="G1:G4"/>
    <mergeCell ref="H1:H4"/>
    <mergeCell ref="D22:D25"/>
    <mergeCell ref="E22:E25"/>
    <mergeCell ref="F22:F25"/>
    <mergeCell ref="A33:A38"/>
    <mergeCell ref="A5:C9"/>
    <mergeCell ref="A12:C15"/>
    <mergeCell ref="A17:C20"/>
    <mergeCell ref="A1:C4"/>
    <mergeCell ref="A28:C31"/>
    <mergeCell ref="A22:C25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E0373-EE46-430E-8370-291D892BB9EC}">
  <dimension ref="A1:F16"/>
  <sheetViews>
    <sheetView tabSelected="1" workbookViewId="0">
      <selection activeCell="B18" sqref="B18"/>
    </sheetView>
  </sheetViews>
  <sheetFormatPr baseColWidth="10" defaultColWidth="8.7265625" defaultRowHeight="14.5" x14ac:dyDescent="0.35"/>
  <cols>
    <col min="1" max="1" width="11.54296875" customWidth="1"/>
    <col min="2" max="2" width="57.6328125" customWidth="1"/>
    <col min="3" max="3" width="56.1796875" customWidth="1"/>
    <col min="4" max="4" width="55.26953125" customWidth="1"/>
    <col min="5" max="5" width="35.6328125" customWidth="1"/>
    <col min="6" max="6" width="33.6328125" customWidth="1"/>
  </cols>
  <sheetData>
    <row r="1" spans="1:6" ht="15" thickBot="1" x14ac:dyDescent="0.4"/>
    <row r="2" spans="1:6" x14ac:dyDescent="0.35">
      <c r="A2" s="17" t="s">
        <v>47</v>
      </c>
      <c r="B2" s="18" t="s">
        <v>32</v>
      </c>
      <c r="C2" s="18" t="s">
        <v>37</v>
      </c>
      <c r="D2" s="18" t="s">
        <v>40</v>
      </c>
      <c r="E2" s="18" t="s">
        <v>43</v>
      </c>
      <c r="F2" s="18" t="s">
        <v>44</v>
      </c>
    </row>
    <row r="3" spans="1:6" x14ac:dyDescent="0.35">
      <c r="A3" s="17"/>
      <c r="B3" s="19"/>
      <c r="C3" s="19"/>
      <c r="D3" s="19"/>
      <c r="E3" s="19"/>
      <c r="F3" s="19"/>
    </row>
    <row r="4" spans="1:6" ht="66" customHeight="1" thickBot="1" x14ac:dyDescent="0.4">
      <c r="A4" s="17"/>
      <c r="B4" s="20"/>
      <c r="C4" s="20"/>
      <c r="D4" s="20"/>
      <c r="E4" s="20"/>
      <c r="F4" s="20"/>
    </row>
    <row r="5" spans="1:6" ht="15" customHeight="1" x14ac:dyDescent="0.35">
      <c r="A5" s="17"/>
      <c r="B5" s="18" t="s">
        <v>33</v>
      </c>
      <c r="C5" s="18" t="s">
        <v>38</v>
      </c>
      <c r="D5" s="18" t="s">
        <v>41</v>
      </c>
      <c r="F5" s="18" t="s">
        <v>45</v>
      </c>
    </row>
    <row r="6" spans="1:6" x14ac:dyDescent="0.35">
      <c r="A6" s="17"/>
      <c r="B6" s="19"/>
      <c r="C6" s="19"/>
      <c r="D6" s="19"/>
      <c r="F6" s="19"/>
    </row>
    <row r="7" spans="1:6" ht="29.5" customHeight="1" thickBot="1" x14ac:dyDescent="0.4">
      <c r="A7" s="17"/>
      <c r="B7" s="20"/>
      <c r="C7" s="20"/>
      <c r="D7" s="20"/>
      <c r="F7" s="20"/>
    </row>
    <row r="8" spans="1:6" ht="15" customHeight="1" x14ac:dyDescent="0.35">
      <c r="A8" s="17"/>
      <c r="B8" s="18" t="s">
        <v>34</v>
      </c>
      <c r="D8" s="18" t="s">
        <v>42</v>
      </c>
      <c r="F8" s="18" t="s">
        <v>46</v>
      </c>
    </row>
    <row r="9" spans="1:6" x14ac:dyDescent="0.35">
      <c r="A9" s="17"/>
      <c r="B9" s="19"/>
      <c r="D9" s="19"/>
      <c r="F9" s="19"/>
    </row>
    <row r="10" spans="1:6" ht="71.5" customHeight="1" thickBot="1" x14ac:dyDescent="0.4">
      <c r="A10" s="17"/>
      <c r="B10" s="20"/>
      <c r="D10" s="20"/>
      <c r="F10" s="20"/>
    </row>
    <row r="11" spans="1:6" x14ac:dyDescent="0.35">
      <c r="A11" s="17"/>
      <c r="B11" s="18" t="s">
        <v>35</v>
      </c>
    </row>
    <row r="12" spans="1:6" x14ac:dyDescent="0.35">
      <c r="A12" s="17"/>
      <c r="B12" s="19"/>
    </row>
    <row r="13" spans="1:6" ht="43.5" customHeight="1" thickBot="1" x14ac:dyDescent="0.4">
      <c r="A13" s="17"/>
      <c r="B13" s="20"/>
    </row>
    <row r="14" spans="1:6" x14ac:dyDescent="0.35">
      <c r="A14" s="17"/>
      <c r="B14" s="18" t="s">
        <v>36</v>
      </c>
    </row>
    <row r="15" spans="1:6" x14ac:dyDescent="0.35">
      <c r="A15" s="17"/>
      <c r="B15" s="19"/>
    </row>
    <row r="16" spans="1:6" ht="28" customHeight="1" thickBot="1" x14ac:dyDescent="0.4">
      <c r="A16" s="17"/>
      <c r="B16" s="20"/>
    </row>
  </sheetData>
  <mergeCells count="15">
    <mergeCell ref="E2:E4"/>
    <mergeCell ref="F2:F4"/>
    <mergeCell ref="F5:F7"/>
    <mergeCell ref="F8:F10"/>
    <mergeCell ref="A2:A16"/>
    <mergeCell ref="B14:B16"/>
    <mergeCell ref="C2:C4"/>
    <mergeCell ref="C5:C7"/>
    <mergeCell ref="D2:D4"/>
    <mergeCell ref="D5:D7"/>
    <mergeCell ref="D8:D10"/>
    <mergeCell ref="B2:B4"/>
    <mergeCell ref="B5:B7"/>
    <mergeCell ref="B8:B10"/>
    <mergeCell ref="B11:B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Eval</vt:lpstr>
      <vt:lpstr>CrE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Carlos Alberto Quiroz Rangel</dc:creator>
  <cp:keywords/>
  <dc:description/>
  <cp:lastModifiedBy>Carlos Alberto Quiroz Rangel</cp:lastModifiedBy>
  <cp:revision/>
  <dcterms:created xsi:type="dcterms:W3CDTF">2026-05-30T21:15:34Z</dcterms:created>
  <dcterms:modified xsi:type="dcterms:W3CDTF">2026-06-10T17:57:34Z</dcterms:modified>
  <cp:category/>
  <cp:contentStatus/>
</cp:coreProperties>
</file>